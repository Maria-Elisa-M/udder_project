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ie\rep_codes\udder_project\paper\tables\"/>
    </mc:Choice>
  </mc:AlternateContent>
  <xr:revisionPtr revIDLastSave="0" documentId="8_{562DC9B5-7A70-4BB3-8D9B-3E547D69D2E0}" xr6:coauthVersionLast="47" xr6:coauthVersionMax="47" xr10:uidLastSave="{00000000-0000-0000-0000-000000000000}"/>
  <bookViews>
    <workbookView xWindow="-120" yWindow="-120" windowWidth="29040" windowHeight="15720" xr2:uid="{1CD3770C-D87B-40B1-9521-5FD13720A64B}"/>
  </bookViews>
  <sheets>
    <sheet name="merged_coef" sheetId="1" r:id="rId1"/>
  </sheets>
  <calcPr calcId="0"/>
</workbook>
</file>

<file path=xl/calcChain.xml><?xml version="1.0" encoding="utf-8"?>
<calcChain xmlns="http://schemas.openxmlformats.org/spreadsheetml/2006/main">
  <c r="G15" i="1" l="1"/>
  <c r="G16" i="1"/>
  <c r="G17" i="1"/>
  <c r="G18" i="1"/>
  <c r="G19" i="1"/>
  <c r="G20" i="1"/>
  <c r="G21" i="1"/>
  <c r="G22" i="1"/>
  <c r="G23" i="1"/>
  <c r="G14" i="1"/>
  <c r="H2" i="1"/>
  <c r="I2" i="1"/>
  <c r="J2" i="1"/>
  <c r="H3" i="1"/>
  <c r="I3" i="1"/>
  <c r="J3" i="1"/>
  <c r="H4" i="1"/>
  <c r="I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G11" i="1"/>
  <c r="G3" i="1"/>
  <c r="G4" i="1"/>
  <c r="G5" i="1"/>
  <c r="G6" i="1"/>
  <c r="G7" i="1"/>
  <c r="G8" i="1"/>
  <c r="G9" i="1"/>
  <c r="G10" i="1"/>
  <c r="G2" i="1"/>
</calcChain>
</file>

<file path=xl/sharedStrings.xml><?xml version="1.0" encoding="utf-8"?>
<sst xmlns="http://schemas.openxmlformats.org/spreadsheetml/2006/main" count="40" uniqueCount="15">
  <si>
    <t>Row.names</t>
  </si>
  <si>
    <t>yield</t>
  </si>
  <si>
    <t>conductivity</t>
  </si>
  <si>
    <t>mean_flow</t>
  </si>
  <si>
    <t>peak_flow</t>
  </si>
  <si>
    <t>(Intercept)</t>
  </si>
  <si>
    <t>area</t>
  </si>
  <si>
    <t>circ</t>
  </si>
  <si>
    <t>days_in_milk</t>
  </si>
  <si>
    <t>exc</t>
  </si>
  <si>
    <t>interval_sec</t>
  </si>
  <si>
    <t>len</t>
  </si>
  <si>
    <t>locationrear</t>
  </si>
  <si>
    <t>parity1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</si>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</sst>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7F07E-7367-4E68-B552-0FD6D8E601A5}">
  <dimension ref="A1:J23"/>
  <sheetViews>
    <sheetView tabSelected="1" workbookViewId="0">
      <selection activeCell="G14" sqref="G14:G23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1</v>
      </c>
      <c r="H1" t="s">
        <v>2</v>
      </c>
      <c r="I1" t="s">
        <v>3</v>
      </c>
      <c r="J1" t="s">
        <v>4</v>
      </c>
    </row>
    <row r="2" spans="1:10" x14ac:dyDescent="0.25">
      <c r="A2" t="s">
        <v>5</v>
      </c>
      <c r="B2">
        <v>-0.69</v>
      </c>
      <c r="C2">
        <v>-0.35299999999999998</v>
      </c>
      <c r="D2">
        <v>7.0000000000000007E-2</v>
      </c>
      <c r="E2">
        <v>4.2999999999999997E-2</v>
      </c>
      <c r="G2" t="str">
        <f>_xlfn.CONCAT(B2,IF(B14&lt;=0.05,"\textsuperscript{*}",""))</f>
        <v>-0.69\textsuperscript{*}</v>
      </c>
      <c r="H2" t="str">
        <f>_xlfn.CONCAT(C2,IF(C14&lt;=0.05,"\textsuperscript{*}",""))</f>
        <v>-0.353\textsuperscript{*}</v>
      </c>
      <c r="I2" t="str">
        <f>_xlfn.CONCAT(D2,IF(D14&lt;=0.05,"\textsuperscript{*}",""))</f>
        <v>0.07</v>
      </c>
      <c r="J2" t="str">
        <f>_xlfn.CONCAT(E2,IF(E14&lt;=0.05,"\textsuperscript{*}",""))</f>
        <v>0.043</v>
      </c>
    </row>
    <row r="3" spans="1:10" x14ac:dyDescent="0.25">
      <c r="A3" t="s">
        <v>6</v>
      </c>
      <c r="B3">
        <v>0.187</v>
      </c>
      <c r="C3">
        <v>-3.5999999999999997E-2</v>
      </c>
      <c r="D3">
        <v>2.1999999999999999E-2</v>
      </c>
      <c r="E3">
        <v>4.7E-2</v>
      </c>
      <c r="G3" t="str">
        <f>_xlfn.CONCAT(B3,IF(B15&lt;=0.05,"\textsuperscript{*}",""))</f>
        <v>0.187\textsuperscript{*}</v>
      </c>
      <c r="H3" t="str">
        <f>_xlfn.CONCAT(C3,IF(C15&lt;=0.05,"\textsuperscript{*}",""))</f>
        <v>-0.036</v>
      </c>
      <c r="I3" t="str">
        <f>_xlfn.CONCAT(D3,IF(D15&lt;=0.05,"\textsuperscript{*}",""))</f>
        <v>0.022</v>
      </c>
      <c r="J3" t="str">
        <f>_xlfn.CONCAT(E3,IF(E15&lt;=0.05,"\textsuperscript{*}",""))</f>
        <v>0.047</v>
      </c>
    </row>
    <row r="4" spans="1:10" x14ac:dyDescent="0.25">
      <c r="A4" t="s">
        <v>7</v>
      </c>
      <c r="B4">
        <v>3.5999999999999997E-2</v>
      </c>
      <c r="C4">
        <v>-2.5000000000000001E-2</v>
      </c>
      <c r="D4">
        <v>-7.9000000000000001E-2</v>
      </c>
      <c r="E4">
        <v>-9.5000000000000001E-2</v>
      </c>
      <c r="G4" t="str">
        <f>_xlfn.CONCAT(B4,IF(B16&lt;=0.05,"\textsuperscript{*}",""))</f>
        <v>0.036</v>
      </c>
      <c r="H4" t="str">
        <f>_xlfn.CONCAT(C4,IF(C16&lt;=0.05,"\textsuperscript{*}",""))</f>
        <v>-0.025</v>
      </c>
      <c r="I4" t="str">
        <f>_xlfn.CONCAT(D4,IF(D16&lt;=0.05,"\textsuperscript{*}",""))</f>
        <v>-0.079</v>
      </c>
      <c r="J4" t="str">
        <f>_xlfn.CONCAT(E4,IF(E16&lt;=0.05,"\textsuperscript{*}",""))</f>
        <v>-0.095</v>
      </c>
    </row>
    <row r="5" spans="1:10" x14ac:dyDescent="0.25">
      <c r="A5" t="s">
        <v>8</v>
      </c>
      <c r="B5">
        <v>-6.6000000000000003E-2</v>
      </c>
      <c r="C5">
        <v>3.5999999999999997E-2</v>
      </c>
      <c r="D5">
        <v>8.6999999999999994E-2</v>
      </c>
      <c r="E5">
        <v>5.8999999999999997E-2</v>
      </c>
      <c r="G5" t="str">
        <f>_xlfn.CONCAT(B5,IF(B17&lt;=0.05,"\textsuperscript{*}",""))</f>
        <v>-0.066</v>
      </c>
      <c r="H5" t="str">
        <f>_xlfn.CONCAT(C5,IF(C17&lt;=0.05,"\textsuperscript{*}",""))</f>
        <v>0.036</v>
      </c>
      <c r="I5" t="str">
        <f>_xlfn.CONCAT(D5,IF(D17&lt;=0.05,"\textsuperscript{*}",""))</f>
        <v>0.087</v>
      </c>
      <c r="J5" t="str">
        <f>_xlfn.CONCAT(E5,IF(E17&lt;=0.05,"\textsuperscript{*}",""))</f>
        <v>0.059</v>
      </c>
    </row>
    <row r="6" spans="1:10" x14ac:dyDescent="0.25">
      <c r="A6" t="s">
        <v>9</v>
      </c>
      <c r="B6">
        <v>2E-3</v>
      </c>
      <c r="C6">
        <v>-8.6999999999999994E-2</v>
      </c>
      <c r="D6">
        <v>2.5999999999999999E-2</v>
      </c>
      <c r="E6">
        <v>2.7E-2</v>
      </c>
      <c r="G6" t="str">
        <f>_xlfn.CONCAT(B6,IF(B18&lt;=0.05,"\textsuperscript{*}",""))</f>
        <v>0.002</v>
      </c>
      <c r="H6" t="str">
        <f>_xlfn.CONCAT(C6,IF(C18&lt;=0.05,"\textsuperscript{*}",""))</f>
        <v>-0.087\textsuperscript{*}</v>
      </c>
      <c r="I6" t="str">
        <f>_xlfn.CONCAT(D6,IF(D18&lt;=0.05,"\textsuperscript{*}",""))</f>
        <v>0.026</v>
      </c>
      <c r="J6" t="str">
        <f>_xlfn.CONCAT(E6,IF(E18&lt;=0.05,"\textsuperscript{*}",""))</f>
        <v>0.027</v>
      </c>
    </row>
    <row r="7" spans="1:10" x14ac:dyDescent="0.25">
      <c r="A7" t="s">
        <v>10</v>
      </c>
      <c r="B7">
        <v>0.47699999999999998</v>
      </c>
      <c r="C7">
        <v>-3.2000000000000001E-2</v>
      </c>
      <c r="D7">
        <v>-0.318</v>
      </c>
      <c r="E7">
        <v>-0.27800000000000002</v>
      </c>
      <c r="G7" t="str">
        <f>_xlfn.CONCAT(B7,IF(B19&lt;=0.05,"\textsuperscript{*}",""))</f>
        <v>0.477\textsuperscript{*}</v>
      </c>
      <c r="H7" t="str">
        <f>_xlfn.CONCAT(C7,IF(C19&lt;=0.05,"\textsuperscript{*}",""))</f>
        <v>-0.032</v>
      </c>
      <c r="I7" t="str">
        <f>_xlfn.CONCAT(D7,IF(D19&lt;=0.05,"\textsuperscript{*}",""))</f>
        <v>-0.318\textsuperscript{*}</v>
      </c>
      <c r="J7" t="str">
        <f>_xlfn.CONCAT(E7,IF(E19&lt;=0.05,"\textsuperscript{*}",""))</f>
        <v>-0.278\textsuperscript{*}</v>
      </c>
    </row>
    <row r="8" spans="1:10" x14ac:dyDescent="0.25">
      <c r="A8" t="s">
        <v>11</v>
      </c>
      <c r="B8">
        <v>7.2999999999999995E-2</v>
      </c>
      <c r="C8">
        <v>3.1E-2</v>
      </c>
      <c r="D8">
        <v>3.7999999999999999E-2</v>
      </c>
      <c r="E8">
        <v>7.0000000000000007E-2</v>
      </c>
      <c r="G8" t="str">
        <f>_xlfn.CONCAT(B8,IF(B20&lt;=0.05,"\textsuperscript{*}",""))</f>
        <v>0.073</v>
      </c>
      <c r="H8" t="str">
        <f>_xlfn.CONCAT(C8,IF(C20&lt;=0.05,"\textsuperscript{*}",""))</f>
        <v>0.031</v>
      </c>
      <c r="I8" t="str">
        <f>_xlfn.CONCAT(D8,IF(D20&lt;=0.05,"\textsuperscript{*}",""))</f>
        <v>0.038</v>
      </c>
      <c r="J8" t="str">
        <f>_xlfn.CONCAT(E8,IF(E20&lt;=0.05,"\textsuperscript{*}",""))</f>
        <v>0.07</v>
      </c>
    </row>
    <row r="9" spans="1:10" x14ac:dyDescent="0.25">
      <c r="A9" t="s">
        <v>12</v>
      </c>
      <c r="B9">
        <v>0.54900000000000004</v>
      </c>
      <c r="C9">
        <v>-9.5000000000000001E-2</v>
      </c>
      <c r="D9">
        <v>-7.9000000000000001E-2</v>
      </c>
      <c r="E9">
        <v>-7.0999999999999994E-2</v>
      </c>
      <c r="G9" t="str">
        <f>_xlfn.CONCAT(B9,IF(B21&lt;=0.05,"\textsuperscript{*}",""))</f>
        <v>0.549\textsuperscript{*}</v>
      </c>
      <c r="H9" t="str">
        <f>_xlfn.CONCAT(C9,IF(C21&lt;=0.05,"\textsuperscript{*}",""))</f>
        <v>-0.095</v>
      </c>
      <c r="I9" t="str">
        <f>_xlfn.CONCAT(D9,IF(D21&lt;=0.05,"\textsuperscript{*}",""))</f>
        <v>-0.079</v>
      </c>
      <c r="J9" t="str">
        <f>_xlfn.CONCAT(E9,IF(E21&lt;=0.05,"\textsuperscript{*}",""))</f>
        <v>-0.071</v>
      </c>
    </row>
    <row r="10" spans="1:10" x14ac:dyDescent="0.25">
      <c r="A10" t="s">
        <v>13</v>
      </c>
      <c r="B10">
        <v>0.60899999999999999</v>
      </c>
      <c r="C10">
        <v>0.66700000000000004</v>
      </c>
      <c r="D10">
        <v>-1.6E-2</v>
      </c>
      <c r="E10">
        <v>2.3E-2</v>
      </c>
      <c r="G10" t="str">
        <f>_xlfn.CONCAT(B10,IF(B22&lt;=0.05,"\textsuperscript{*}",""))</f>
        <v>0.609\textsuperscript{*}</v>
      </c>
      <c r="H10" t="str">
        <f>_xlfn.CONCAT(C10,IF(C22&lt;=0.05,"\textsuperscript{*}",""))</f>
        <v>0.667\textsuperscript{*}</v>
      </c>
      <c r="I10" t="str">
        <f>_xlfn.CONCAT(D10,IF(D22&lt;=0.05,"\textsuperscript{*}",""))</f>
        <v>-0.016</v>
      </c>
      <c r="J10" t="str">
        <f>_xlfn.CONCAT(E10,IF(E22&lt;=0.05,"\textsuperscript{*}",""))</f>
        <v>0.023</v>
      </c>
    </row>
    <row r="11" spans="1:10" x14ac:dyDescent="0.25">
      <c r="A11" t="s">
        <v>1</v>
      </c>
      <c r="B11" t="s">
        <v>14</v>
      </c>
      <c r="C11">
        <v>0.107</v>
      </c>
      <c r="D11">
        <v>0.54</v>
      </c>
      <c r="E11">
        <v>0.46700000000000003</v>
      </c>
      <c r="G11" t="str">
        <f>_xlfn.CONCAT(B11,IF(B23&lt;=0.05,"\textsuperscript{*}",""))</f>
        <v>NA</v>
      </c>
      <c r="H11" t="str">
        <f>_xlfn.CONCAT(C11,IF(C23&lt;=0.05,"\textsuperscript{*}",""))</f>
        <v>0.107</v>
      </c>
      <c r="I11" t="str">
        <f>_xlfn.CONCAT(D11,IF(D23&lt;=0.05,"\textsuperscript{*}",""))</f>
        <v>0.54\textsuperscript{*}</v>
      </c>
      <c r="J11" t="str">
        <f>_xlfn.CONCAT(E11,IF(E23&lt;=0.05,"\textsuperscript{*}",""))</f>
        <v>0.467\textsuperscript{*}</v>
      </c>
    </row>
    <row r="13" spans="1:10" x14ac:dyDescent="0.25">
      <c r="A13" t="s">
        <v>0</v>
      </c>
      <c r="B13" t="s">
        <v>1</v>
      </c>
      <c r="C13" t="s">
        <v>2</v>
      </c>
      <c r="D13" t="s">
        <v>3</v>
      </c>
      <c r="E13" t="s">
        <v>4</v>
      </c>
      <c r="G13" t="s">
        <v>1</v>
      </c>
      <c r="H13" t="s">
        <v>2</v>
      </c>
      <c r="I13" t="s">
        <v>3</v>
      </c>
      <c r="J13" t="s">
        <v>4</v>
      </c>
    </row>
    <row r="14" spans="1:10" x14ac:dyDescent="0.25">
      <c r="A14" t="s">
        <v>5</v>
      </c>
      <c r="B14">
        <v>0</v>
      </c>
      <c r="C14">
        <v>8.0000000000000002E-3</v>
      </c>
      <c r="D14">
        <v>0.621</v>
      </c>
      <c r="E14">
        <v>0.76</v>
      </c>
      <c r="G14" t="str">
        <f>_xlfn.CONCAT(A2, " &amp;", G2,  " &amp; ",H2, " &amp; ",I2, " &amp; ",J2,  " \\")</f>
        <v>(Intercept) &amp;-0.69\textsuperscript{*} &amp; -0.353\textsuperscript{*} &amp; 0.07 &amp; 0.043 \\</v>
      </c>
    </row>
    <row r="15" spans="1:10" x14ac:dyDescent="0.25">
      <c r="A15" t="s">
        <v>6</v>
      </c>
      <c r="B15">
        <v>1E-3</v>
      </c>
      <c r="C15">
        <v>0.59</v>
      </c>
      <c r="D15">
        <v>0.69199999999999995</v>
      </c>
      <c r="E15">
        <v>0.44400000000000001</v>
      </c>
      <c r="G15" t="str">
        <f t="shared" ref="G15:G23" si="0">_xlfn.CONCAT(A3, " &amp;", G3,  " &amp; ",H3, " &amp; ",I3, " &amp; ",J3,  " \\")</f>
        <v>area &amp;0.187\textsuperscript{*} &amp; -0.036 &amp; 0.022 &amp; 0.047 \\</v>
      </c>
    </row>
    <row r="16" spans="1:10" x14ac:dyDescent="0.25">
      <c r="A16" t="s">
        <v>7</v>
      </c>
      <c r="B16">
        <v>0.46100000000000002</v>
      </c>
      <c r="C16">
        <v>0.73099999999999998</v>
      </c>
      <c r="D16">
        <v>0.318</v>
      </c>
      <c r="E16">
        <v>0.23300000000000001</v>
      </c>
      <c r="G16" t="str">
        <f t="shared" si="0"/>
        <v>circ &amp;0.036 &amp; -0.025 &amp; -0.079 &amp; -0.095 \\</v>
      </c>
    </row>
    <row r="17" spans="1:7" x14ac:dyDescent="0.25">
      <c r="A17" t="s">
        <v>8</v>
      </c>
      <c r="B17">
        <v>0.156</v>
      </c>
      <c r="C17">
        <v>0.61199999999999999</v>
      </c>
      <c r="D17">
        <v>0.27700000000000002</v>
      </c>
      <c r="E17">
        <v>0.45400000000000001</v>
      </c>
      <c r="G17" t="str">
        <f t="shared" si="0"/>
        <v>days_in_milk &amp;-0.066 &amp; 0.036 &amp; 0.087 &amp; 0.059 \\</v>
      </c>
    </row>
    <row r="18" spans="1:7" x14ac:dyDescent="0.25">
      <c r="A18" t="s">
        <v>9</v>
      </c>
      <c r="B18">
        <v>0.94499999999999995</v>
      </c>
      <c r="C18">
        <v>1.7000000000000001E-2</v>
      </c>
      <c r="D18">
        <v>0.36499999999999999</v>
      </c>
      <c r="E18">
        <v>0.40799999999999997</v>
      </c>
      <c r="G18" t="str">
        <f t="shared" si="0"/>
        <v>exc &amp;0.002 &amp; -0.087\textsuperscript{*} &amp; 0.026 &amp; 0.027 \\</v>
      </c>
    </row>
    <row r="19" spans="1:7" x14ac:dyDescent="0.25">
      <c r="A19" t="s">
        <v>10</v>
      </c>
      <c r="B19">
        <v>0</v>
      </c>
      <c r="C19">
        <v>0.68400000000000005</v>
      </c>
      <c r="D19">
        <v>0</v>
      </c>
      <c r="E19">
        <v>1E-3</v>
      </c>
      <c r="G19" t="str">
        <f t="shared" si="0"/>
        <v>interval_sec &amp;0.477\textsuperscript{*} &amp; -0.032 &amp; -0.318\textsuperscript{*} &amp; -0.278\textsuperscript{*} \\</v>
      </c>
    </row>
    <row r="20" spans="1:7" x14ac:dyDescent="0.25">
      <c r="A20" t="s">
        <v>11</v>
      </c>
      <c r="B20">
        <v>6.2E-2</v>
      </c>
      <c r="C20">
        <v>0.53</v>
      </c>
      <c r="D20">
        <v>0.34899999999999998</v>
      </c>
      <c r="E20">
        <v>0.125</v>
      </c>
      <c r="G20" t="str">
        <f t="shared" si="0"/>
        <v>len &amp;0.073 &amp; 0.031 &amp; 0.038 &amp; 0.07 \\</v>
      </c>
    </row>
    <row r="21" spans="1:7" x14ac:dyDescent="0.25">
      <c r="A21" t="s">
        <v>12</v>
      </c>
      <c r="B21">
        <v>0</v>
      </c>
      <c r="C21">
        <v>0.48299999999999998</v>
      </c>
      <c r="D21">
        <v>0.47399999999999998</v>
      </c>
      <c r="E21">
        <v>0.56999999999999995</v>
      </c>
      <c r="G21" t="str">
        <f t="shared" si="0"/>
        <v>locationrear &amp;0.549\textsuperscript{*} &amp; -0.095 &amp; -0.079 &amp; -0.071 \\</v>
      </c>
    </row>
    <row r="22" spans="1:7" x14ac:dyDescent="0.25">
      <c r="A22" t="s">
        <v>13</v>
      </c>
      <c r="B22">
        <v>0</v>
      </c>
      <c r="C22">
        <v>0</v>
      </c>
      <c r="D22">
        <v>0.92600000000000005</v>
      </c>
      <c r="E22">
        <v>0.89300000000000002</v>
      </c>
      <c r="G22" t="str">
        <f t="shared" si="0"/>
        <v>parity1 &amp;0.609\textsuperscript{*} &amp; 0.667\textsuperscript{*} &amp; -0.016 &amp; 0.023 \\</v>
      </c>
    </row>
    <row r="23" spans="1:7" x14ac:dyDescent="0.25">
      <c r="A23" t="s">
        <v>1</v>
      </c>
      <c r="B23" t="s">
        <v>14</v>
      </c>
      <c r="C23">
        <v>0.104</v>
      </c>
      <c r="D23">
        <v>0</v>
      </c>
      <c r="E23">
        <v>0</v>
      </c>
      <c r="G23" t="str">
        <f t="shared" si="0"/>
        <v>yield &amp;NA &amp; 0.107 &amp; 0.54\textsuperscript{*} &amp; 0.467\textsuperscript{*} \\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merged_coef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Elisa Montes Gonzalez</cp:lastModifiedBy>
  <dcterms:created xsi:type="dcterms:W3CDTF">2025-06-27T05:05:47Z</dcterms:created>
  <dcterms:modified xsi:type="dcterms:W3CDTF">2025-06-27T05:05:47Z</dcterms:modified>
</cp:coreProperties>
</file>