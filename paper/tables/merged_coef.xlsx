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\rep_codes\udder_project\paper\tables\"/>
    </mc:Choice>
  </mc:AlternateContent>
  <xr:revisionPtr revIDLastSave="0" documentId="13_ncr:1_{80DBD089-42EE-478D-88F8-277F0627A820}" xr6:coauthVersionLast="47" xr6:coauthVersionMax="47" xr10:uidLastSave="{00000000-0000-0000-0000-000000000000}"/>
  <bookViews>
    <workbookView xWindow="-120" yWindow="-120" windowWidth="29040" windowHeight="15720" xr2:uid="{1CD3770C-D87B-40B1-9521-5FD13720A64B}"/>
  </bookViews>
  <sheets>
    <sheet name="merged_coe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O2" i="1"/>
  <c r="O3" i="1"/>
  <c r="O4" i="1"/>
  <c r="O5" i="1"/>
  <c r="O6" i="1"/>
  <c r="O7" i="1"/>
  <c r="O8" i="1"/>
  <c r="O9" i="1"/>
  <c r="O10" i="1"/>
  <c r="O11" i="1"/>
  <c r="N2" i="1"/>
  <c r="N3" i="1"/>
  <c r="N4" i="1"/>
  <c r="G16" i="1" s="1"/>
  <c r="N5" i="1"/>
  <c r="G17" i="1" s="1"/>
  <c r="N6" i="1"/>
  <c r="N7" i="1"/>
  <c r="N8" i="1"/>
  <c r="N9" i="1"/>
  <c r="N10" i="1"/>
  <c r="N11" i="1"/>
  <c r="M3" i="1"/>
  <c r="M4" i="1"/>
  <c r="M5" i="1"/>
  <c r="M6" i="1"/>
  <c r="M7" i="1"/>
  <c r="M8" i="1"/>
  <c r="M9" i="1"/>
  <c r="M10" i="1"/>
  <c r="G22" i="1" s="1"/>
  <c r="M11" i="1"/>
  <c r="M2" i="1"/>
  <c r="G23" i="1"/>
  <c r="G15" i="1"/>
  <c r="G14" i="1"/>
  <c r="G18" i="1" l="1"/>
  <c r="G19" i="1"/>
  <c r="G20" i="1"/>
  <c r="G21" i="1"/>
</calcChain>
</file>

<file path=xl/sharedStrings.xml><?xml version="1.0" encoding="utf-8"?>
<sst xmlns="http://schemas.openxmlformats.org/spreadsheetml/2006/main" count="56" uniqueCount="17">
  <si>
    <t>Row.names</t>
  </si>
  <si>
    <t>yield</t>
  </si>
  <si>
    <t>conductivity</t>
  </si>
  <si>
    <t>mean_flow</t>
  </si>
  <si>
    <t>peak_flow</t>
  </si>
  <si>
    <t>(Intercept)</t>
  </si>
  <si>
    <t>area</t>
  </si>
  <si>
    <t>circ</t>
  </si>
  <si>
    <t>days_in_milk</t>
  </si>
  <si>
    <t>exc</t>
  </si>
  <si>
    <t>interval_sec</t>
  </si>
  <si>
    <t>len</t>
  </si>
  <si>
    <t>locationrear</t>
  </si>
  <si>
    <t>parity1</t>
  </si>
  <si>
    <t>NA</t>
  </si>
  <si>
    <t>mean_flow.x</t>
  </si>
  <si>
    <t>mean_flow.y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</si>
</sst>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F07E-7367-4E68-B552-0FD6D8E601A5}">
  <dimension ref="A1:P23"/>
  <sheetViews>
    <sheetView tabSelected="1" workbookViewId="0">
      <selection activeCell="G13" sqref="G13:J23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15</v>
      </c>
      <c r="K1" t="s">
        <v>16</v>
      </c>
      <c r="M1" t="s">
        <v>1</v>
      </c>
      <c r="N1" t="s">
        <v>2</v>
      </c>
      <c r="O1" t="s">
        <v>3</v>
      </c>
      <c r="P1" t="s">
        <v>4</v>
      </c>
    </row>
    <row r="2" spans="1:16" x14ac:dyDescent="0.25">
      <c r="A2" t="s">
        <v>5</v>
      </c>
      <c r="B2">
        <v>-0.69</v>
      </c>
      <c r="C2">
        <v>-0.35299999999999998</v>
      </c>
      <c r="D2">
        <v>7.0000000000000007E-2</v>
      </c>
      <c r="E2">
        <v>4.2999999999999997E-2</v>
      </c>
      <c r="G2" t="s">
        <v>5</v>
      </c>
      <c r="H2">
        <v>8.5999999999999993E-2</v>
      </c>
      <c r="I2">
        <v>0.13200000000000001</v>
      </c>
      <c r="J2">
        <v>0.14000000000000001</v>
      </c>
      <c r="K2">
        <v>0.14000000000000001</v>
      </c>
      <c r="M2" t="str">
        <f>_xlfn.CONCAT(B2,"$\pm$", H2,IF(B14&lt;=0.05,"\textsuperscript{*}",""))</f>
        <v>-0.69$\pm$0.086\textsuperscript{*}</v>
      </c>
      <c r="N2" t="str">
        <f>_xlfn.CONCAT(C2,"$\pm$", I2,IF(C14&lt;=0.05,"\textsuperscript{*}",""))</f>
        <v>-0.353$\pm$0.132\textsuperscript{*}</v>
      </c>
      <c r="O2" t="str">
        <f>_xlfn.CONCAT(D2,"$\pm$", J2,IF(D14&lt;=0.05,"\textsuperscript{*}",""))</f>
        <v>0.07$\pm$0.14</v>
      </c>
      <c r="P2" t="str">
        <f>_xlfn.CONCAT(E2,"$\pm$", K2,IF(E14&lt;=0.05,"\textsuperscript{*}",""))</f>
        <v>0.043$\pm$0.14</v>
      </c>
    </row>
    <row r="3" spans="1:16" x14ac:dyDescent="0.25">
      <c r="A3" t="s">
        <v>6</v>
      </c>
      <c r="B3">
        <v>0.187</v>
      </c>
      <c r="C3">
        <v>-3.5999999999999997E-2</v>
      </c>
      <c r="D3">
        <v>2.1999999999999999E-2</v>
      </c>
      <c r="E3">
        <v>4.7E-2</v>
      </c>
      <c r="G3" t="s">
        <v>6</v>
      </c>
      <c r="H3">
        <v>5.3999999999999999E-2</v>
      </c>
      <c r="I3">
        <v>6.7000000000000004E-2</v>
      </c>
      <c r="J3">
        <v>5.5E-2</v>
      </c>
      <c r="K3">
        <v>5.5E-2</v>
      </c>
      <c r="M3" t="str">
        <f t="shared" ref="M3:P11" si="0">_xlfn.CONCAT(B3,"$\pm$", H3,IF(B15&lt;=0.05,"\textsuperscript{*}",""))</f>
        <v>0.187$\pm$0.054\textsuperscript{*}</v>
      </c>
      <c r="N3" t="str">
        <f t="shared" si="0"/>
        <v>-0.036$\pm$0.067</v>
      </c>
      <c r="O3" t="str">
        <f t="shared" si="0"/>
        <v>0.022$\pm$0.055</v>
      </c>
      <c r="P3" t="str">
        <f t="shared" si="0"/>
        <v>0.047$\pm$0.055</v>
      </c>
    </row>
    <row r="4" spans="1:16" x14ac:dyDescent="0.25">
      <c r="A4" t="s">
        <v>7</v>
      </c>
      <c r="B4">
        <v>3.5999999999999997E-2</v>
      </c>
      <c r="C4">
        <v>-2.5000000000000001E-2</v>
      </c>
      <c r="D4">
        <v>-7.9000000000000001E-2</v>
      </c>
      <c r="E4">
        <v>-9.5000000000000001E-2</v>
      </c>
      <c r="G4" t="s">
        <v>7</v>
      </c>
      <c r="H4">
        <v>4.8000000000000001E-2</v>
      </c>
      <c r="I4">
        <v>7.1999999999999995E-2</v>
      </c>
      <c r="J4">
        <v>7.9000000000000001E-2</v>
      </c>
      <c r="K4">
        <v>7.9000000000000001E-2</v>
      </c>
      <c r="M4" t="str">
        <f t="shared" si="0"/>
        <v>0.036$\pm$0.048</v>
      </c>
      <c r="N4" t="str">
        <f t="shared" si="0"/>
        <v>-0.025$\pm$0.072</v>
      </c>
      <c r="O4" t="str">
        <f t="shared" si="0"/>
        <v>-0.079$\pm$0.079</v>
      </c>
      <c r="P4" t="str">
        <f t="shared" si="0"/>
        <v>-0.095$\pm$0.079</v>
      </c>
    </row>
    <row r="5" spans="1:16" x14ac:dyDescent="0.25">
      <c r="A5" t="s">
        <v>8</v>
      </c>
      <c r="B5">
        <v>-6.6000000000000003E-2</v>
      </c>
      <c r="C5">
        <v>3.5999999999999997E-2</v>
      </c>
      <c r="D5">
        <v>8.6999999999999994E-2</v>
      </c>
      <c r="E5">
        <v>5.8999999999999997E-2</v>
      </c>
      <c r="G5" t="s">
        <v>8</v>
      </c>
      <c r="H5">
        <v>4.5999999999999999E-2</v>
      </c>
      <c r="I5">
        <v>7.0000000000000007E-2</v>
      </c>
      <c r="J5">
        <v>0.08</v>
      </c>
      <c r="K5">
        <v>0.08</v>
      </c>
      <c r="M5" t="str">
        <f t="shared" si="0"/>
        <v>-0.066$\pm$0.046</v>
      </c>
      <c r="N5" t="str">
        <f t="shared" si="0"/>
        <v>0.036$\pm$0.07</v>
      </c>
      <c r="O5" t="str">
        <f t="shared" si="0"/>
        <v>0.087$\pm$0.08</v>
      </c>
      <c r="P5" t="str">
        <f t="shared" si="0"/>
        <v>0.059$\pm$0.08</v>
      </c>
    </row>
    <row r="6" spans="1:16" x14ac:dyDescent="0.25">
      <c r="A6" t="s">
        <v>9</v>
      </c>
      <c r="B6">
        <v>2E-3</v>
      </c>
      <c r="C6">
        <v>-8.6999999999999994E-2</v>
      </c>
      <c r="D6">
        <v>2.5999999999999999E-2</v>
      </c>
      <c r="E6">
        <v>2.7E-2</v>
      </c>
      <c r="G6" t="s">
        <v>9</v>
      </c>
      <c r="H6">
        <v>0.03</v>
      </c>
      <c r="I6">
        <v>3.5999999999999997E-2</v>
      </c>
      <c r="J6">
        <v>2.9000000000000001E-2</v>
      </c>
      <c r="K6">
        <v>2.9000000000000001E-2</v>
      </c>
      <c r="M6" t="str">
        <f t="shared" si="0"/>
        <v>0.002$\pm$0.03</v>
      </c>
      <c r="N6" t="str">
        <f t="shared" si="0"/>
        <v>-0.087$\pm$0.036\textsuperscript{*}</v>
      </c>
      <c r="O6" t="str">
        <f t="shared" si="0"/>
        <v>0.026$\pm$0.029</v>
      </c>
      <c r="P6" t="str">
        <f t="shared" si="0"/>
        <v>0.027$\pm$0.029</v>
      </c>
    </row>
    <row r="7" spans="1:16" x14ac:dyDescent="0.25">
      <c r="A7" t="s">
        <v>10</v>
      </c>
      <c r="B7">
        <v>0.47699999999999998</v>
      </c>
      <c r="C7">
        <v>-3.2000000000000001E-2</v>
      </c>
      <c r="D7">
        <v>-0.318</v>
      </c>
      <c r="E7">
        <v>-0.27800000000000002</v>
      </c>
      <c r="G7" t="s">
        <v>10</v>
      </c>
      <c r="H7">
        <v>4.7E-2</v>
      </c>
      <c r="I7">
        <v>7.8E-2</v>
      </c>
      <c r="J7">
        <v>8.5000000000000006E-2</v>
      </c>
      <c r="K7">
        <v>8.5000000000000006E-2</v>
      </c>
      <c r="M7" t="str">
        <f t="shared" si="0"/>
        <v>0.477$\pm$0.047\textsuperscript{*}</v>
      </c>
      <c r="N7" t="str">
        <f t="shared" si="0"/>
        <v>-0.032$\pm$0.078</v>
      </c>
      <c r="O7" t="str">
        <f t="shared" si="0"/>
        <v>-0.318$\pm$0.085\textsuperscript{*}</v>
      </c>
      <c r="P7" t="str">
        <f t="shared" si="0"/>
        <v>-0.278$\pm$0.085\textsuperscript{*}</v>
      </c>
    </row>
    <row r="8" spans="1:16" x14ac:dyDescent="0.25">
      <c r="A8" t="s">
        <v>11</v>
      </c>
      <c r="B8">
        <v>7.2999999999999995E-2</v>
      </c>
      <c r="C8">
        <v>3.1E-2</v>
      </c>
      <c r="D8">
        <v>3.7999999999999999E-2</v>
      </c>
      <c r="E8">
        <v>7.0000000000000007E-2</v>
      </c>
      <c r="G8" t="s">
        <v>11</v>
      </c>
      <c r="H8">
        <v>3.9E-2</v>
      </c>
      <c r="I8">
        <v>4.9000000000000002E-2</v>
      </c>
      <c r="J8">
        <v>4.1000000000000002E-2</v>
      </c>
      <c r="K8">
        <v>4.1000000000000002E-2</v>
      </c>
      <c r="M8" t="str">
        <f t="shared" si="0"/>
        <v>0.073$\pm$0.039</v>
      </c>
      <c r="N8" t="str">
        <f t="shared" si="0"/>
        <v>0.031$\pm$0.049</v>
      </c>
      <c r="O8" t="str">
        <f t="shared" si="0"/>
        <v>0.038$\pm$0.041</v>
      </c>
      <c r="P8" t="str">
        <f t="shared" si="0"/>
        <v>0.07$\pm$0.041</v>
      </c>
    </row>
    <row r="9" spans="1:16" x14ac:dyDescent="0.25">
      <c r="A9" t="s">
        <v>12</v>
      </c>
      <c r="B9">
        <v>0.54900000000000004</v>
      </c>
      <c r="C9">
        <v>-9.5000000000000001E-2</v>
      </c>
      <c r="D9">
        <v>-7.9000000000000001E-2</v>
      </c>
      <c r="E9">
        <v>-7.0999999999999994E-2</v>
      </c>
      <c r="G9" t="s">
        <v>12</v>
      </c>
      <c r="H9">
        <v>0.107</v>
      </c>
      <c r="I9">
        <v>0.13500000000000001</v>
      </c>
      <c r="J9">
        <v>0.11</v>
      </c>
      <c r="K9">
        <v>0.11</v>
      </c>
      <c r="M9" t="str">
        <f t="shared" si="0"/>
        <v>0.549$\pm$0.107\textsuperscript{*}</v>
      </c>
      <c r="N9" t="str">
        <f t="shared" si="0"/>
        <v>-0.095$\pm$0.135</v>
      </c>
      <c r="O9" t="str">
        <f t="shared" si="0"/>
        <v>-0.079$\pm$0.11</v>
      </c>
      <c r="P9" t="str">
        <f t="shared" si="0"/>
        <v>-0.071$\pm$0.11</v>
      </c>
    </row>
    <row r="10" spans="1:16" x14ac:dyDescent="0.25">
      <c r="A10" t="s">
        <v>13</v>
      </c>
      <c r="B10">
        <v>0.60899999999999999</v>
      </c>
      <c r="C10">
        <v>0.66700000000000004</v>
      </c>
      <c r="D10">
        <v>-1.6E-2</v>
      </c>
      <c r="E10">
        <v>2.3E-2</v>
      </c>
      <c r="G10" t="s">
        <v>13</v>
      </c>
      <c r="H10">
        <v>0.1</v>
      </c>
      <c r="I10">
        <v>0.156</v>
      </c>
      <c r="J10">
        <v>0.17299999999999999</v>
      </c>
      <c r="K10">
        <v>0.17299999999999999</v>
      </c>
      <c r="M10" t="str">
        <f t="shared" si="0"/>
        <v>0.609$\pm$0.1\textsuperscript{*}</v>
      </c>
      <c r="N10" t="str">
        <f t="shared" si="0"/>
        <v>0.667$\pm$0.156\textsuperscript{*}</v>
      </c>
      <c r="O10" t="str">
        <f t="shared" si="0"/>
        <v>-0.016$\pm$0.173</v>
      </c>
      <c r="P10" t="str">
        <f t="shared" si="0"/>
        <v>0.023$\pm$0.173</v>
      </c>
    </row>
    <row r="11" spans="1:16" x14ac:dyDescent="0.25">
      <c r="A11" t="s">
        <v>1</v>
      </c>
      <c r="B11" t="s">
        <v>14</v>
      </c>
      <c r="C11">
        <v>0.107</v>
      </c>
      <c r="D11">
        <v>0.54</v>
      </c>
      <c r="E11">
        <v>0.46700000000000003</v>
      </c>
      <c r="G11" t="s">
        <v>1</v>
      </c>
      <c r="H11" t="s">
        <v>14</v>
      </c>
      <c r="I11">
        <v>6.6000000000000003E-2</v>
      </c>
      <c r="J11">
        <v>5.6000000000000001E-2</v>
      </c>
      <c r="K11">
        <v>5.6000000000000001E-2</v>
      </c>
      <c r="M11" t="str">
        <f t="shared" si="0"/>
        <v>NA$\pm$NA</v>
      </c>
      <c r="N11" t="str">
        <f t="shared" si="0"/>
        <v>0.107$\pm$0.066</v>
      </c>
      <c r="O11" t="str">
        <f t="shared" si="0"/>
        <v>0.54$\pm$0.056\textsuperscript{*}</v>
      </c>
      <c r="P11" t="str">
        <f t="shared" si="0"/>
        <v>0.467$\pm$0.056\textsuperscript{*}</v>
      </c>
    </row>
    <row r="13" spans="1:16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G13" t="s">
        <v>1</v>
      </c>
      <c r="H13" t="s">
        <v>2</v>
      </c>
      <c r="I13" t="s">
        <v>3</v>
      </c>
      <c r="J13" t="s">
        <v>4</v>
      </c>
    </row>
    <row r="14" spans="1:16" x14ac:dyDescent="0.25">
      <c r="A14" t="s">
        <v>5</v>
      </c>
      <c r="B14">
        <v>0</v>
      </c>
      <c r="C14">
        <v>8.0000000000000002E-3</v>
      </c>
      <c r="D14">
        <v>0.621</v>
      </c>
      <c r="E14">
        <v>0.76</v>
      </c>
      <c r="G14" t="str">
        <f>_xlfn.CONCAT(A2, " &amp;", M2,  " &amp; ",N2, " &amp; ",O2, " &amp; ",P2,  " \\")</f>
        <v>(Intercept) &amp;-0.69$\pm$0.086\textsuperscript{*} &amp; -0.353$\pm$0.132\textsuperscript{*} &amp; 0.07$\pm$0.14 &amp; 0.043$\pm$0.14 \\</v>
      </c>
    </row>
    <row r="15" spans="1:16" x14ac:dyDescent="0.25">
      <c r="A15" t="s">
        <v>6</v>
      </c>
      <c r="B15">
        <v>1E-3</v>
      </c>
      <c r="C15">
        <v>0.59</v>
      </c>
      <c r="D15">
        <v>0.69199999999999995</v>
      </c>
      <c r="E15">
        <v>0.44400000000000001</v>
      </c>
      <c r="G15" t="str">
        <f>_xlfn.CONCAT(A3, " &amp;", M3,  " &amp; ",N3, " &amp; ",O3, " &amp; ",P3,  " \\")</f>
        <v>area &amp;0.187$\pm$0.054\textsuperscript{*} &amp; -0.036$\pm$0.067 &amp; 0.022$\pm$0.055 &amp; 0.047$\pm$0.055 \\</v>
      </c>
    </row>
    <row r="16" spans="1:16" x14ac:dyDescent="0.25">
      <c r="A16" t="s">
        <v>7</v>
      </c>
      <c r="B16">
        <v>0.46100000000000002</v>
      </c>
      <c r="C16">
        <v>0.73099999999999998</v>
      </c>
      <c r="D16">
        <v>0.318</v>
      </c>
      <c r="E16">
        <v>0.23300000000000001</v>
      </c>
      <c r="G16" t="str">
        <f>_xlfn.CONCAT(A4, " &amp;", M4,  " &amp; ",N4, " &amp; ",O4, " &amp; ",P4,  " \\")</f>
        <v>circ &amp;0.036$\pm$0.048 &amp; -0.025$\pm$0.072 &amp; -0.079$\pm$0.079 &amp; -0.095$\pm$0.079 \\</v>
      </c>
    </row>
    <row r="17" spans="1:7" x14ac:dyDescent="0.25">
      <c r="A17" t="s">
        <v>8</v>
      </c>
      <c r="B17">
        <v>0.156</v>
      </c>
      <c r="C17">
        <v>0.61199999999999999</v>
      </c>
      <c r="D17">
        <v>0.27700000000000002</v>
      </c>
      <c r="E17">
        <v>0.45400000000000001</v>
      </c>
      <c r="G17" t="str">
        <f>_xlfn.CONCAT(A5, " &amp;", M5,  " &amp; ",N5, " &amp; ",O5, " &amp; ",P5,  " \\")</f>
        <v>days_in_milk &amp;-0.066$\pm$0.046 &amp; 0.036$\pm$0.07 &amp; 0.087$\pm$0.08 &amp; 0.059$\pm$0.08 \\</v>
      </c>
    </row>
    <row r="18" spans="1:7" x14ac:dyDescent="0.25">
      <c r="A18" t="s">
        <v>9</v>
      </c>
      <c r="B18">
        <v>0.94499999999999995</v>
      </c>
      <c r="C18">
        <v>1.7000000000000001E-2</v>
      </c>
      <c r="D18">
        <v>0.36499999999999999</v>
      </c>
      <c r="E18">
        <v>0.40799999999999997</v>
      </c>
      <c r="G18" t="str">
        <f>_xlfn.CONCAT(A6, " &amp;", M6,  " &amp; ",N6, " &amp; ",O6, " &amp; ",P6,  " \\")</f>
        <v>exc &amp;0.002$\pm$0.03 &amp; -0.087$\pm$0.036\textsuperscript{*} &amp; 0.026$\pm$0.029 &amp; 0.027$\pm$0.029 \\</v>
      </c>
    </row>
    <row r="19" spans="1:7" x14ac:dyDescent="0.25">
      <c r="A19" t="s">
        <v>10</v>
      </c>
      <c r="B19">
        <v>0</v>
      </c>
      <c r="C19">
        <v>0.68400000000000005</v>
      </c>
      <c r="D19">
        <v>0</v>
      </c>
      <c r="E19">
        <v>1E-3</v>
      </c>
      <c r="G19" t="str">
        <f>_xlfn.CONCAT(A7, " &amp;", M7,  " &amp; ",N7, " &amp; ",O7, " &amp; ",P7,  " \\")</f>
        <v>interval_sec &amp;0.477$\pm$0.047\textsuperscript{*} &amp; -0.032$\pm$0.078 &amp; -0.318$\pm$0.085\textsuperscript{*} &amp; -0.278$\pm$0.085\textsuperscript{*} \\</v>
      </c>
    </row>
    <row r="20" spans="1:7" x14ac:dyDescent="0.25">
      <c r="A20" t="s">
        <v>11</v>
      </c>
      <c r="B20">
        <v>6.2E-2</v>
      </c>
      <c r="C20">
        <v>0.53</v>
      </c>
      <c r="D20">
        <v>0.34899999999999998</v>
      </c>
      <c r="E20">
        <v>0.125</v>
      </c>
      <c r="G20" t="str">
        <f>_xlfn.CONCAT(A8, " &amp;", M8,  " &amp; ",N8, " &amp; ",O8, " &amp; ",P8,  " \\")</f>
        <v>len &amp;0.073$\pm$0.039 &amp; 0.031$\pm$0.049 &amp; 0.038$\pm$0.041 &amp; 0.07$\pm$0.041 \\</v>
      </c>
    </row>
    <row r="21" spans="1:7" x14ac:dyDescent="0.25">
      <c r="A21" t="s">
        <v>12</v>
      </c>
      <c r="B21">
        <v>0</v>
      </c>
      <c r="C21">
        <v>0.48299999999999998</v>
      </c>
      <c r="D21">
        <v>0.47399999999999998</v>
      </c>
      <c r="E21">
        <v>0.56999999999999995</v>
      </c>
      <c r="G21" t="str">
        <f>_xlfn.CONCAT(A9, " &amp;", M9,  " &amp; ",N9, " &amp; ",O9, " &amp; ",P9,  " \\")</f>
        <v>locationrear &amp;0.549$\pm$0.107\textsuperscript{*} &amp; -0.095$\pm$0.135 &amp; -0.079$\pm$0.11 &amp; -0.071$\pm$0.11 \\</v>
      </c>
    </row>
    <row r="22" spans="1:7" x14ac:dyDescent="0.25">
      <c r="A22" t="s">
        <v>13</v>
      </c>
      <c r="B22">
        <v>0</v>
      </c>
      <c r="C22">
        <v>0</v>
      </c>
      <c r="D22">
        <v>0.92600000000000005</v>
      </c>
      <c r="E22">
        <v>0.89300000000000002</v>
      </c>
      <c r="G22" t="str">
        <f>_xlfn.CONCAT(A10, " &amp;", M10,  " &amp; ",N10, " &amp; ",O10, " &amp; ",P10,  " \\")</f>
        <v>parity1 &amp;0.609$\pm$0.1\textsuperscript{*} &amp; 0.667$\pm$0.156\textsuperscript{*} &amp; -0.016$\pm$0.173 &amp; 0.023$\pm$0.173 \\</v>
      </c>
    </row>
    <row r="23" spans="1:7" x14ac:dyDescent="0.25">
      <c r="A23" t="s">
        <v>1</v>
      </c>
      <c r="B23" t="s">
        <v>14</v>
      </c>
      <c r="C23">
        <v>0.104</v>
      </c>
      <c r="D23">
        <v>0</v>
      </c>
      <c r="E23">
        <v>0</v>
      </c>
      <c r="G23" t="str">
        <f>_xlfn.CONCAT(A11, " &amp;", M11,  " &amp; ",N11, " &amp; ",O11, " &amp; ",P11,  " \\")</f>
        <v>yield &amp;NA$\pm$NA &amp; 0.107$\pm$0.066 &amp; 0.54$\pm$0.056\textsuperscript{*} &amp; 0.467$\pm$0.056\textsuperscript{*} \\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merged_coef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Elisa Montes Gonzalez</cp:lastModifiedBy>
  <dcterms:created xsi:type="dcterms:W3CDTF">2025-06-27T05:05:47Z</dcterms:created>
  <dcterms:modified xsi:type="dcterms:W3CDTF">2025-07-11T16:36:22Z</dcterms:modified>
</cp:coreProperties>
</file>