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e\rep_codes\udder_project\paper\tables\"/>
    </mc:Choice>
  </mc:AlternateContent>
  <xr:revisionPtr revIDLastSave="0" documentId="13_ncr:1_{06DFE2F8-52D2-4356-A6B3-61388EA6F614}" xr6:coauthVersionLast="47" xr6:coauthVersionMax="47" xr10:uidLastSave="{00000000-0000-0000-0000-000000000000}"/>
  <bookViews>
    <workbookView xWindow="-120" yWindow="-120" windowWidth="29040" windowHeight="15720" xr2:uid="{52A21CA7-4BD2-4D91-8C08-8BF6D3E29650}"/>
  </bookViews>
  <sheets>
    <sheet name="udder_pearson_d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J2" i="1"/>
  <c r="K2" i="1"/>
  <c r="L2" i="1"/>
  <c r="I3" i="1"/>
  <c r="J3" i="1"/>
  <c r="K3" i="1"/>
  <c r="L3" i="1"/>
  <c r="I4" i="1"/>
  <c r="J4" i="1"/>
  <c r="K4" i="1"/>
  <c r="L4" i="1"/>
  <c r="I5" i="1"/>
  <c r="J5" i="1"/>
  <c r="K5" i="1"/>
  <c r="L5" i="1"/>
  <c r="I6" i="1"/>
  <c r="J6" i="1"/>
  <c r="K6" i="1"/>
  <c r="L6" i="1"/>
  <c r="I7" i="1"/>
  <c r="J7" i="1"/>
  <c r="K7" i="1"/>
  <c r="L7" i="1"/>
  <c r="I8" i="1"/>
  <c r="J8" i="1"/>
  <c r="K8" i="1"/>
  <c r="L8" i="1"/>
  <c r="I9" i="1"/>
  <c r="J9" i="1"/>
  <c r="K9" i="1"/>
  <c r="L9" i="1"/>
  <c r="I10" i="1"/>
  <c r="J10" i="1"/>
  <c r="K10" i="1"/>
  <c r="L10" i="1"/>
  <c r="I11" i="1"/>
  <c r="J11" i="1"/>
  <c r="K11" i="1"/>
  <c r="L11" i="1"/>
  <c r="I12" i="1"/>
  <c r="H26" i="1" s="1"/>
  <c r="J12" i="1"/>
  <c r="K12" i="1"/>
  <c r="L12" i="1"/>
  <c r="I13" i="1"/>
  <c r="J13" i="1"/>
  <c r="K13" i="1"/>
  <c r="L13" i="1"/>
  <c r="H3" i="1"/>
  <c r="H4" i="1"/>
  <c r="H5" i="1"/>
  <c r="H6" i="1"/>
  <c r="H7" i="1"/>
  <c r="H8" i="1"/>
  <c r="H9" i="1"/>
  <c r="H10" i="1"/>
  <c r="H11" i="1"/>
  <c r="H12" i="1"/>
  <c r="H13" i="1"/>
  <c r="H2" i="1"/>
  <c r="H20" i="1" l="1"/>
  <c r="H24" i="1"/>
  <c r="H22" i="1"/>
  <c r="H16" i="1"/>
  <c r="H18" i="1"/>
  <c r="H21" i="1"/>
  <c r="H27" i="1"/>
  <c r="H19" i="1"/>
  <c r="H23" i="1"/>
  <c r="H25" i="1"/>
  <c r="H17" i="1"/>
</calcChain>
</file>

<file path=xl/sharedStrings.xml><?xml version="1.0" encoding="utf-8"?>
<sst xmlns="http://schemas.openxmlformats.org/spreadsheetml/2006/main" count="39" uniqueCount="18">
  <si>
    <t>yield_visit_mean</t>
  </si>
  <si>
    <t>interval_sec_mean</t>
  </si>
  <si>
    <t>kickoff_any_perc</t>
  </si>
  <si>
    <t>lactation</t>
  </si>
  <si>
    <t>vol_udder</t>
  </si>
  <si>
    <t>sarea_udder</t>
  </si>
  <si>
    <t>peri_udder</t>
  </si>
  <si>
    <t>area_udder</t>
  </si>
  <si>
    <t>circ_udder</t>
  </si>
  <si>
    <t>exc_udder</t>
  </si>
  <si>
    <t>min_teat</t>
  </si>
  <si>
    <t>max_teat</t>
  </si>
  <si>
    <t>min_eu</t>
  </si>
  <si>
    <t>max_eu</t>
  </si>
  <si>
    <t>min_gd</t>
  </si>
  <si>
    <t>max_gd</t>
  </si>
  <si>
    <t>milk_flow_duration_mean</t>
  </si>
  <si>
    <t>dim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</si>
</sst>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77CF6-CB75-4A2C-97CA-0451F651209E}">
  <dimension ref="A1:L27"/>
  <sheetViews>
    <sheetView tabSelected="1" workbookViewId="0">
      <selection activeCell="H16" sqref="H16:H27"/>
    </sheetView>
  </sheetViews>
  <sheetFormatPr defaultRowHeight="15" x14ac:dyDescent="0.25"/>
  <sheetData>
    <row r="1" spans="1:12" x14ac:dyDescent="0.25">
      <c r="B1" t="s">
        <v>0</v>
      </c>
      <c r="C1" t="s">
        <v>1</v>
      </c>
      <c r="D1" t="s">
        <v>2</v>
      </c>
      <c r="E1" t="s">
        <v>17</v>
      </c>
      <c r="F1" t="s">
        <v>3</v>
      </c>
      <c r="H1" t="s">
        <v>0</v>
      </c>
      <c r="I1" t="s">
        <v>1</v>
      </c>
      <c r="J1" t="s">
        <v>2</v>
      </c>
      <c r="K1" t="s">
        <v>16</v>
      </c>
      <c r="L1" t="s">
        <v>3</v>
      </c>
    </row>
    <row r="2" spans="1:12" x14ac:dyDescent="0.25">
      <c r="A2" t="s">
        <v>4</v>
      </c>
      <c r="B2">
        <v>0.45</v>
      </c>
      <c r="C2">
        <v>0.114</v>
      </c>
      <c r="D2">
        <v>-7.8E-2</v>
      </c>
      <c r="E2">
        <v>-0.01</v>
      </c>
      <c r="F2">
        <v>0.29499999999999998</v>
      </c>
      <c r="H2" t="str">
        <f>_xlfn.CONCAT(B2,IF(B16&lt;=0.05,"\textsuperscript{*}",""))</f>
        <v>0.45\textsuperscript{*}</v>
      </c>
      <c r="I2" t="str">
        <f t="shared" ref="I2:L13" si="0">_xlfn.CONCAT(C2,IF(C16&lt;=0.05,"\textsuperscript{*}",""))</f>
        <v>0.114</v>
      </c>
      <c r="J2" t="str">
        <f t="shared" si="0"/>
        <v>-0.078</v>
      </c>
      <c r="K2" t="str">
        <f t="shared" si="0"/>
        <v>-0.01</v>
      </c>
      <c r="L2" t="str">
        <f t="shared" si="0"/>
        <v>0.295\textsuperscript{*}</v>
      </c>
    </row>
    <row r="3" spans="1:12" x14ac:dyDescent="0.25">
      <c r="A3" t="s">
        <v>5</v>
      </c>
      <c r="B3">
        <v>0.46400000000000002</v>
      </c>
      <c r="C3">
        <v>-4.7E-2</v>
      </c>
      <c r="D3">
        <v>-0.13600000000000001</v>
      </c>
      <c r="E3">
        <v>-5.6000000000000001E-2</v>
      </c>
      <c r="F3">
        <v>0.38400000000000001</v>
      </c>
      <c r="H3" t="str">
        <f t="shared" ref="H3:H13" si="1">_xlfn.CONCAT(B3,IF(B17&lt;=0.05,"\textsuperscript{*}",""))</f>
        <v>0.464\textsuperscript{*}</v>
      </c>
      <c r="I3" t="str">
        <f t="shared" si="0"/>
        <v>-0.047</v>
      </c>
      <c r="J3" t="str">
        <f t="shared" si="0"/>
        <v>-0.136</v>
      </c>
      <c r="K3" t="str">
        <f t="shared" si="0"/>
        <v>-0.056</v>
      </c>
      <c r="L3" t="str">
        <f t="shared" si="0"/>
        <v>0.384\textsuperscript{*}</v>
      </c>
    </row>
    <row r="4" spans="1:12" x14ac:dyDescent="0.25">
      <c r="A4" t="s">
        <v>6</v>
      </c>
      <c r="B4">
        <v>0.56200000000000006</v>
      </c>
      <c r="C4">
        <v>-7.1999999999999995E-2</v>
      </c>
      <c r="D4">
        <v>-0.22900000000000001</v>
      </c>
      <c r="E4">
        <v>1.7000000000000001E-2</v>
      </c>
      <c r="F4">
        <v>0.72399999999999998</v>
      </c>
      <c r="H4" t="str">
        <f t="shared" si="1"/>
        <v>0.562\textsuperscript{*}</v>
      </c>
      <c r="I4" t="str">
        <f t="shared" si="0"/>
        <v>-0.072</v>
      </c>
      <c r="J4" t="str">
        <f t="shared" si="0"/>
        <v>-0.229\textsuperscript{*}</v>
      </c>
      <c r="K4" t="str">
        <f t="shared" si="0"/>
        <v>0.017</v>
      </c>
      <c r="L4" t="str">
        <f t="shared" si="0"/>
        <v>0.724\textsuperscript{*}</v>
      </c>
    </row>
    <row r="5" spans="1:12" x14ac:dyDescent="0.25">
      <c r="A5" t="s">
        <v>7</v>
      </c>
      <c r="B5">
        <v>0.54600000000000004</v>
      </c>
      <c r="C5">
        <v>-7.2999999999999995E-2</v>
      </c>
      <c r="D5">
        <v>-0.20499999999999999</v>
      </c>
      <c r="E5">
        <v>-1.9E-2</v>
      </c>
      <c r="F5">
        <v>0.7</v>
      </c>
      <c r="H5" t="str">
        <f t="shared" si="1"/>
        <v>0.546\textsuperscript{*}</v>
      </c>
      <c r="I5" t="str">
        <f t="shared" si="0"/>
        <v>-0.073</v>
      </c>
      <c r="J5" t="str">
        <f t="shared" si="0"/>
        <v>-0.205\textsuperscript{*}</v>
      </c>
      <c r="K5" t="str">
        <f t="shared" si="0"/>
        <v>-0.019</v>
      </c>
      <c r="L5" t="str">
        <f t="shared" si="0"/>
        <v>0.7\textsuperscript{*}</v>
      </c>
    </row>
    <row r="6" spans="1:12" x14ac:dyDescent="0.25">
      <c r="A6" t="s">
        <v>8</v>
      </c>
      <c r="B6">
        <v>-0.36099999999999999</v>
      </c>
      <c r="C6">
        <v>2.4E-2</v>
      </c>
      <c r="D6">
        <v>5.8999999999999997E-2</v>
      </c>
      <c r="E6">
        <v>-7.8E-2</v>
      </c>
      <c r="F6">
        <v>-0.35799999999999998</v>
      </c>
      <c r="H6" t="str">
        <f t="shared" si="1"/>
        <v>-0.361\textsuperscript{*}</v>
      </c>
      <c r="I6" t="str">
        <f t="shared" si="0"/>
        <v>0.024</v>
      </c>
      <c r="J6" t="str">
        <f t="shared" si="0"/>
        <v>0.059</v>
      </c>
      <c r="K6" t="str">
        <f t="shared" si="0"/>
        <v>-0.078</v>
      </c>
      <c r="L6" t="str">
        <f t="shared" si="0"/>
        <v>-0.358\textsuperscript{*}</v>
      </c>
    </row>
    <row r="7" spans="1:12" x14ac:dyDescent="0.25">
      <c r="A7" t="s">
        <v>9</v>
      </c>
      <c r="B7">
        <v>3.1E-2</v>
      </c>
      <c r="C7">
        <v>6.5000000000000002E-2</v>
      </c>
      <c r="D7">
        <v>2.5999999999999999E-2</v>
      </c>
      <c r="E7">
        <v>-0.192</v>
      </c>
      <c r="F7">
        <v>7.9000000000000001E-2</v>
      </c>
      <c r="H7" t="str">
        <f t="shared" si="1"/>
        <v>0.031</v>
      </c>
      <c r="I7" t="str">
        <f t="shared" si="0"/>
        <v>0.065</v>
      </c>
      <c r="J7" t="str">
        <f t="shared" si="0"/>
        <v>0.026</v>
      </c>
      <c r="K7" t="str">
        <f t="shared" si="0"/>
        <v>-0.192\textsuperscript{*}</v>
      </c>
      <c r="L7" t="str">
        <f t="shared" si="0"/>
        <v>0.079</v>
      </c>
    </row>
    <row r="8" spans="1:12" x14ac:dyDescent="0.25">
      <c r="A8" t="s">
        <v>10</v>
      </c>
      <c r="B8">
        <v>0.20200000000000001</v>
      </c>
      <c r="C8">
        <v>-3.3000000000000002E-2</v>
      </c>
      <c r="D8">
        <v>-2.5999999999999999E-2</v>
      </c>
      <c r="E8">
        <v>4.4999999999999998E-2</v>
      </c>
      <c r="F8">
        <v>0.313</v>
      </c>
      <c r="H8" t="str">
        <f t="shared" si="1"/>
        <v>0.202\textsuperscript{*}</v>
      </c>
      <c r="I8" t="str">
        <f t="shared" si="0"/>
        <v>-0.033</v>
      </c>
      <c r="J8" t="str">
        <f t="shared" si="0"/>
        <v>-0.026</v>
      </c>
      <c r="K8" t="str">
        <f t="shared" si="0"/>
        <v>0.045</v>
      </c>
      <c r="L8" t="str">
        <f t="shared" si="0"/>
        <v>0.313\textsuperscript{*}</v>
      </c>
    </row>
    <row r="9" spans="1:12" x14ac:dyDescent="0.25">
      <c r="A9" t="s">
        <v>11</v>
      </c>
      <c r="B9">
        <v>0.13300000000000001</v>
      </c>
      <c r="C9">
        <v>-2.5999999999999999E-2</v>
      </c>
      <c r="D9">
        <v>-0.01</v>
      </c>
      <c r="E9">
        <v>-0.02</v>
      </c>
      <c r="F9">
        <v>0.161</v>
      </c>
      <c r="H9" t="str">
        <f t="shared" si="1"/>
        <v>0.133</v>
      </c>
      <c r="I9" t="str">
        <f t="shared" si="0"/>
        <v>-0.026</v>
      </c>
      <c r="J9" t="str">
        <f t="shared" si="0"/>
        <v>-0.01</v>
      </c>
      <c r="K9" t="str">
        <f t="shared" si="0"/>
        <v>-0.02</v>
      </c>
      <c r="L9" t="str">
        <f t="shared" si="0"/>
        <v>0.161</v>
      </c>
    </row>
    <row r="10" spans="1:12" x14ac:dyDescent="0.25">
      <c r="A10" t="s">
        <v>12</v>
      </c>
      <c r="B10">
        <v>0.13900000000000001</v>
      </c>
      <c r="C10">
        <v>9.8000000000000004E-2</v>
      </c>
      <c r="D10">
        <v>0.15</v>
      </c>
      <c r="E10">
        <v>-0.13100000000000001</v>
      </c>
      <c r="F10">
        <v>0.12</v>
      </c>
      <c r="H10" t="str">
        <f t="shared" si="1"/>
        <v>0.139</v>
      </c>
      <c r="I10" t="str">
        <f t="shared" si="0"/>
        <v>0.098</v>
      </c>
      <c r="J10" t="str">
        <f t="shared" si="0"/>
        <v>0.15</v>
      </c>
      <c r="K10" t="str">
        <f t="shared" si="0"/>
        <v>-0.131</v>
      </c>
      <c r="L10" t="str">
        <f t="shared" si="0"/>
        <v>0.12</v>
      </c>
    </row>
    <row r="11" spans="1:12" x14ac:dyDescent="0.25">
      <c r="A11" t="s">
        <v>13</v>
      </c>
      <c r="B11">
        <v>0.378</v>
      </c>
      <c r="C11">
        <v>-4.5999999999999999E-2</v>
      </c>
      <c r="D11">
        <v>-0.16900000000000001</v>
      </c>
      <c r="E11">
        <v>5.1999999999999998E-2</v>
      </c>
      <c r="F11">
        <v>0.48</v>
      </c>
      <c r="H11" t="str">
        <f t="shared" si="1"/>
        <v>0.378\textsuperscript{*}</v>
      </c>
      <c r="I11" t="str">
        <f t="shared" si="0"/>
        <v>-0.046</v>
      </c>
      <c r="J11" t="str">
        <f t="shared" si="0"/>
        <v>-0.169\textsuperscript{*}</v>
      </c>
      <c r="K11" t="str">
        <f t="shared" si="0"/>
        <v>0.052</v>
      </c>
      <c r="L11" t="str">
        <f t="shared" si="0"/>
        <v>0.48\textsuperscript{*}</v>
      </c>
    </row>
    <row r="12" spans="1:12" x14ac:dyDescent="0.25">
      <c r="A12" t="s">
        <v>14</v>
      </c>
      <c r="B12">
        <v>0.16300000000000001</v>
      </c>
      <c r="C12">
        <v>3.3000000000000002E-2</v>
      </c>
      <c r="D12">
        <v>9.6000000000000002E-2</v>
      </c>
      <c r="E12">
        <v>-0.09</v>
      </c>
      <c r="F12">
        <v>0.21299999999999999</v>
      </c>
      <c r="H12" t="str">
        <f t="shared" si="1"/>
        <v>0.163</v>
      </c>
      <c r="I12" t="str">
        <f t="shared" si="0"/>
        <v>0.033</v>
      </c>
      <c r="J12" t="str">
        <f t="shared" si="0"/>
        <v>0.096</v>
      </c>
      <c r="K12" t="str">
        <f t="shared" si="0"/>
        <v>-0.09</v>
      </c>
      <c r="L12" t="str">
        <f t="shared" si="0"/>
        <v>0.213\textsuperscript{*}</v>
      </c>
    </row>
    <row r="13" spans="1:12" x14ac:dyDescent="0.25">
      <c r="A13" t="s">
        <v>15</v>
      </c>
      <c r="B13">
        <v>0.42699999999999999</v>
      </c>
      <c r="C13">
        <v>0.08</v>
      </c>
      <c r="D13">
        <v>-7.2999999999999995E-2</v>
      </c>
      <c r="E13">
        <v>7.4999999999999997E-2</v>
      </c>
      <c r="F13">
        <v>0.46300000000000002</v>
      </c>
      <c r="H13" t="str">
        <f t="shared" si="1"/>
        <v>0.427\textsuperscript{*}</v>
      </c>
      <c r="I13" t="str">
        <f t="shared" si="0"/>
        <v>0.08</v>
      </c>
      <c r="J13" t="str">
        <f t="shared" si="0"/>
        <v>-0.073</v>
      </c>
      <c r="K13" t="str">
        <f t="shared" si="0"/>
        <v>0.075</v>
      </c>
      <c r="L13" t="str">
        <f t="shared" si="0"/>
        <v>0.463\textsuperscript{*}</v>
      </c>
    </row>
    <row r="15" spans="1:12" x14ac:dyDescent="0.25">
      <c r="B15" t="s">
        <v>0</v>
      </c>
      <c r="C15" t="s">
        <v>1</v>
      </c>
      <c r="D15" t="s">
        <v>2</v>
      </c>
      <c r="E15" t="s">
        <v>17</v>
      </c>
      <c r="F15" t="s">
        <v>3</v>
      </c>
    </row>
    <row r="16" spans="1:12" x14ac:dyDescent="0.25">
      <c r="A16" t="s">
        <v>4</v>
      </c>
      <c r="B16">
        <v>0</v>
      </c>
      <c r="C16">
        <v>0.19500000000000001</v>
      </c>
      <c r="D16">
        <v>0.374</v>
      </c>
      <c r="E16">
        <v>0.91300000000000003</v>
      </c>
      <c r="F16">
        <v>1E-3</v>
      </c>
      <c r="H16" t="str">
        <f>_xlfn.CONCAT(A16,  " &amp; ", H2, " &amp; ", I2, " &amp; ", J2, " &amp; ", K2,  " &amp; ", L2,  " \\")</f>
        <v>vol_udder &amp; 0.45\textsuperscript{*} &amp; 0.114 &amp; -0.078 &amp; -0.01 &amp; 0.295\textsuperscript{*} \\</v>
      </c>
    </row>
    <row r="17" spans="1:8" x14ac:dyDescent="0.25">
      <c r="A17" t="s">
        <v>5</v>
      </c>
      <c r="B17">
        <v>0</v>
      </c>
      <c r="C17">
        <v>0.58899999999999997</v>
      </c>
      <c r="D17">
        <v>0.11799999999999999</v>
      </c>
      <c r="E17">
        <v>0.51800000000000002</v>
      </c>
      <c r="F17">
        <v>0</v>
      </c>
      <c r="H17" t="str">
        <f t="shared" ref="H17:H27" si="2">_xlfn.CONCAT(A17,  " &amp; ", H3, " &amp; ", I3, " &amp; ", J3, " &amp; ", K3,  " &amp; ", L3,  " \\")</f>
        <v>sarea_udder &amp; 0.464\textsuperscript{*} &amp; -0.047 &amp; -0.136 &amp; -0.056 &amp; 0.384\textsuperscript{*} \\</v>
      </c>
    </row>
    <row r="18" spans="1:8" x14ac:dyDescent="0.25">
      <c r="A18" t="s">
        <v>6</v>
      </c>
      <c r="B18">
        <v>0</v>
      </c>
      <c r="C18">
        <v>0.40600000000000003</v>
      </c>
      <c r="D18">
        <v>7.0000000000000001E-3</v>
      </c>
      <c r="E18">
        <v>0.84599999999999997</v>
      </c>
      <c r="F18">
        <v>0</v>
      </c>
      <c r="H18" t="str">
        <f t="shared" si="2"/>
        <v>peri_udder &amp; 0.562\textsuperscript{*} &amp; -0.072 &amp; -0.229\textsuperscript{*} &amp; 0.017 &amp; 0.724\textsuperscript{*} \\</v>
      </c>
    </row>
    <row r="19" spans="1:8" x14ac:dyDescent="0.25">
      <c r="A19" t="s">
        <v>7</v>
      </c>
      <c r="B19">
        <v>0</v>
      </c>
      <c r="C19">
        <v>0.39700000000000002</v>
      </c>
      <c r="D19">
        <v>1.7000000000000001E-2</v>
      </c>
      <c r="E19">
        <v>0.82299999999999995</v>
      </c>
      <c r="F19">
        <v>0</v>
      </c>
      <c r="H19" t="str">
        <f t="shared" si="2"/>
        <v>area_udder &amp; 0.546\textsuperscript{*} &amp; -0.073 &amp; -0.205\textsuperscript{*} &amp; -0.019 &amp; 0.7\textsuperscript{*} \\</v>
      </c>
    </row>
    <row r="20" spans="1:8" x14ac:dyDescent="0.25">
      <c r="A20" t="s">
        <v>8</v>
      </c>
      <c r="B20">
        <v>0</v>
      </c>
      <c r="C20">
        <v>0.78900000000000003</v>
      </c>
      <c r="D20">
        <v>0.51700000000000002</v>
      </c>
      <c r="E20">
        <v>0.39100000000000001</v>
      </c>
      <c r="F20">
        <v>0</v>
      </c>
      <c r="H20" t="str">
        <f t="shared" si="2"/>
        <v>circ_udder &amp; -0.361\textsuperscript{*} &amp; 0.024 &amp; 0.059 &amp; -0.078 &amp; -0.358\textsuperscript{*} \\</v>
      </c>
    </row>
    <row r="21" spans="1:8" x14ac:dyDescent="0.25">
      <c r="A21" t="s">
        <v>9</v>
      </c>
      <c r="B21">
        <v>0.73099999999999998</v>
      </c>
      <c r="C21">
        <v>0.46500000000000002</v>
      </c>
      <c r="D21">
        <v>0.77200000000000002</v>
      </c>
      <c r="E21">
        <v>0.03</v>
      </c>
      <c r="F21">
        <v>0.378</v>
      </c>
      <c r="H21" t="str">
        <f t="shared" si="2"/>
        <v>exc_udder &amp; 0.031 &amp; 0.065 &amp; 0.026 &amp; -0.192\textsuperscript{*} &amp; 0.079 \\</v>
      </c>
    </row>
    <row r="22" spans="1:8" x14ac:dyDescent="0.25">
      <c r="A22" t="s">
        <v>10</v>
      </c>
      <c r="B22">
        <v>1.7000000000000001E-2</v>
      </c>
      <c r="C22">
        <v>0.69499999999999995</v>
      </c>
      <c r="D22">
        <v>0.75700000000000001</v>
      </c>
      <c r="E22">
        <v>0.59199999999999997</v>
      </c>
      <c r="F22">
        <v>0</v>
      </c>
      <c r="H22" t="str">
        <f t="shared" si="2"/>
        <v>min_teat &amp; 0.202\textsuperscript{*} &amp; -0.033 &amp; -0.026 &amp; 0.045 &amp; 0.313\textsuperscript{*} \\</v>
      </c>
    </row>
    <row r="23" spans="1:8" x14ac:dyDescent="0.25">
      <c r="A23" t="s">
        <v>11</v>
      </c>
      <c r="B23">
        <v>0.11700000000000001</v>
      </c>
      <c r="C23">
        <v>0.76200000000000001</v>
      </c>
      <c r="D23">
        <v>0.90300000000000002</v>
      </c>
      <c r="E23">
        <v>0.81499999999999995</v>
      </c>
      <c r="F23">
        <v>5.6000000000000001E-2</v>
      </c>
      <c r="H23" t="str">
        <f t="shared" si="2"/>
        <v>max_teat &amp; 0.133 &amp; -0.026 &amp; -0.01 &amp; -0.02 &amp; 0.161 \\</v>
      </c>
    </row>
    <row r="24" spans="1:8" x14ac:dyDescent="0.25">
      <c r="A24" t="s">
        <v>12</v>
      </c>
      <c r="B24">
        <v>9.8000000000000004E-2</v>
      </c>
      <c r="C24">
        <v>0.24399999999999999</v>
      </c>
      <c r="D24">
        <v>7.4999999999999997E-2</v>
      </c>
      <c r="E24">
        <v>0.11899999999999999</v>
      </c>
      <c r="F24">
        <v>0.154</v>
      </c>
      <c r="H24" t="str">
        <f t="shared" si="2"/>
        <v>min_eu &amp; 0.139 &amp; 0.098 &amp; 0.15 &amp; -0.131 &amp; 0.12 \\</v>
      </c>
    </row>
    <row r="25" spans="1:8" x14ac:dyDescent="0.25">
      <c r="A25" t="s">
        <v>13</v>
      </c>
      <c r="B25">
        <v>0</v>
      </c>
      <c r="C25">
        <v>0.58299999999999996</v>
      </c>
      <c r="D25">
        <v>4.4999999999999998E-2</v>
      </c>
      <c r="E25">
        <v>0.53700000000000003</v>
      </c>
      <c r="F25">
        <v>0</v>
      </c>
      <c r="H25" t="str">
        <f t="shared" si="2"/>
        <v>max_eu &amp; 0.378\textsuperscript{*} &amp; -0.046 &amp; -0.169\textsuperscript{*} &amp; 0.052 &amp; 0.48\textsuperscript{*} \\</v>
      </c>
    </row>
    <row r="26" spans="1:8" x14ac:dyDescent="0.25">
      <c r="A26" t="s">
        <v>14</v>
      </c>
      <c r="B26">
        <v>5.3999999999999999E-2</v>
      </c>
      <c r="C26">
        <v>0.69899999999999995</v>
      </c>
      <c r="D26">
        <v>0.25900000000000001</v>
      </c>
      <c r="E26">
        <v>0.28799999999999998</v>
      </c>
      <c r="F26">
        <v>1.2E-2</v>
      </c>
      <c r="H26" t="str">
        <f t="shared" si="2"/>
        <v>min_gd &amp; 0.163 &amp; 0.033 &amp; 0.096 &amp; -0.09 &amp; 0.213\textsuperscript{*} \\</v>
      </c>
    </row>
    <row r="27" spans="1:8" x14ac:dyDescent="0.25">
      <c r="A27" t="s">
        <v>15</v>
      </c>
      <c r="B27">
        <v>0</v>
      </c>
      <c r="C27">
        <v>0.34499999999999997</v>
      </c>
      <c r="D27">
        <v>0.39200000000000002</v>
      </c>
      <c r="E27">
        <v>0.379</v>
      </c>
      <c r="F27">
        <v>0</v>
      </c>
      <c r="H27" t="str">
        <f t="shared" si="2"/>
        <v>max_gd &amp; 0.427\textsuperscript{*} &amp; 0.08 &amp; -0.073 &amp; 0.075 &amp; 0.463\textsuperscript{*} \\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udder_pearson_df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Elisa Montes Gonzalez</cp:lastModifiedBy>
  <dcterms:created xsi:type="dcterms:W3CDTF">2025-06-24T22:23:43Z</dcterms:created>
  <dcterms:modified xsi:type="dcterms:W3CDTF">2025-06-27T04:34:31Z</dcterms:modified>
</cp:coreProperties>
</file>